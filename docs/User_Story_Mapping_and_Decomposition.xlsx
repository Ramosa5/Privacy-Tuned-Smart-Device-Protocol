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mos\Desktop\EMSS20252026\ptsd_protocol\docs\"/>
    </mc:Choice>
  </mc:AlternateContent>
  <xr:revisionPtr revIDLastSave="0" documentId="13_ncr:1_{D49A8ADC-16C3-41A5-8DD4-89FFB4841F74}" xr6:coauthVersionLast="47" xr6:coauthVersionMax="47" xr10:uidLastSave="{00000000-0000-0000-0000-000000000000}"/>
  <bookViews>
    <workbookView xWindow="-108" yWindow="-108" windowWidth="23256" windowHeight="12456" activeTab="1" xr2:uid="{00000000-000D-0000-FFFF-FFFF00000000}"/>
  </bookViews>
  <sheets>
    <sheet name="Features from steps" sheetId="1" r:id="rId1"/>
    <sheet name="Initial US from features" sheetId="2" r:id="rId2"/>
  </sheets>
  <calcPr calcId="181029"/>
</workbook>
</file>

<file path=xl/calcChain.xml><?xml version="1.0" encoding="utf-8"?>
<calcChain xmlns="http://schemas.openxmlformats.org/spreadsheetml/2006/main">
  <c r="C40" i="2" l="1"/>
  <c r="C41" i="2"/>
  <c r="A40" i="2"/>
  <c r="A41" i="2"/>
  <c r="C39" i="2"/>
  <c r="C38" i="2"/>
  <c r="C34" i="2"/>
  <c r="C35" i="2"/>
  <c r="C36" i="2"/>
  <c r="C37" i="2"/>
  <c r="C33" i="2"/>
  <c r="C26" i="2"/>
  <c r="C27" i="2"/>
  <c r="C28" i="2"/>
  <c r="C25" i="2"/>
  <c r="C23" i="2"/>
  <c r="C24" i="2"/>
  <c r="C22" i="2"/>
  <c r="C18" i="2"/>
  <c r="C19" i="2"/>
  <c r="C20" i="2"/>
  <c r="C21" i="2"/>
  <c r="C17" i="2"/>
  <c r="C15" i="2"/>
  <c r="C16" i="2"/>
  <c r="C14" i="2"/>
  <c r="C11" i="2"/>
  <c r="C12" i="2"/>
  <c r="C13" i="2"/>
  <c r="C10" i="2"/>
  <c r="C6" i="2"/>
  <c r="C7" i="2"/>
  <c r="C8" i="2"/>
  <c r="C9" i="2"/>
  <c r="C5" i="2"/>
  <c r="C4" i="2"/>
  <c r="C3" i="2"/>
  <c r="A32" i="2"/>
  <c r="C32" i="2"/>
  <c r="C30" i="2"/>
  <c r="C31" i="2"/>
  <c r="C29" i="2"/>
  <c r="A39" i="2"/>
  <c r="A38" i="2"/>
  <c r="A29" i="2"/>
  <c r="A34" i="2"/>
  <c r="A35" i="2"/>
  <c r="A36" i="2"/>
  <c r="A37" i="2"/>
  <c r="A33" i="2"/>
  <c r="A31" i="2"/>
  <c r="A30" i="2"/>
  <c r="A28" i="2"/>
  <c r="A9" i="2"/>
  <c r="A21" i="2"/>
  <c r="A20" i="2"/>
  <c r="A8" i="2"/>
  <c r="A7" i="2"/>
  <c r="A26" i="2"/>
  <c r="A27" i="2"/>
  <c r="A25" i="2"/>
  <c r="A23" i="2"/>
  <c r="A24" i="2"/>
  <c r="A22" i="2"/>
  <c r="A18" i="2"/>
  <c r="A19" i="2"/>
  <c r="A17" i="2"/>
  <c r="A15" i="2"/>
  <c r="A16" i="2"/>
  <c r="A14" i="2"/>
  <c r="A11" i="2"/>
  <c r="A12" i="2"/>
  <c r="A13" i="2"/>
  <c r="A10" i="2"/>
  <c r="A3" i="2"/>
  <c r="A4" i="2"/>
  <c r="A6" i="2"/>
  <c r="A5" i="2"/>
</calcChain>
</file>

<file path=xl/sharedStrings.xml><?xml version="1.0" encoding="utf-8"?>
<sst xmlns="http://schemas.openxmlformats.org/spreadsheetml/2006/main" count="174" uniqueCount="169">
  <si>
    <t>User Journey</t>
  </si>
  <si>
    <t>Feature 1</t>
  </si>
  <si>
    <t>Feature 2</t>
  </si>
  <si>
    <t>Feature 3</t>
  </si>
  <si>
    <t>4.1 Run secure key exchange</t>
  </si>
  <si>
    <t>4.2 Establish encrypted communication</t>
  </si>
  <si>
    <t>4.3 Retry pairing if needed</t>
  </si>
  <si>
    <t>5.2 Add device to device map</t>
  </si>
  <si>
    <t>6.3 Allow advanced security view</t>
  </si>
  <si>
    <t>1.2 Instruction manual in the box</t>
  </si>
  <si>
    <t>1.1 Qr code on the device</t>
  </si>
  <si>
    <t>In the scope of MVP</t>
  </si>
  <si>
    <t>Outside of the scope of MVP</t>
  </si>
  <si>
    <t>2.1 Clickable App icon on mobile phone</t>
  </si>
  <si>
    <t>2.2 Main app screen</t>
  </si>
  <si>
    <t>Feature 4</t>
  </si>
  <si>
    <t>2.4 Item list screen</t>
  </si>
  <si>
    <t>2.5 Bottom menu</t>
  </si>
  <si>
    <t>3.1 Camera scanner</t>
  </si>
  <si>
    <t>3.2 QR Detector</t>
  </si>
  <si>
    <t>3.3 Scan feedback</t>
  </si>
  <si>
    <t>3.4 Loading spinner</t>
  </si>
  <si>
    <t>5.3 Show current status</t>
  </si>
  <si>
    <t>5.1 Success confirmation</t>
  </si>
  <si>
    <t>2.3 "Add device" button</t>
  </si>
  <si>
    <t>1. Unpack The Device</t>
  </si>
  <si>
    <t>2. Open App</t>
  </si>
  <si>
    <t>3. Scan QR Code</t>
  </si>
  <si>
    <t>4. Secure Pairing</t>
  </si>
  <si>
    <t>5. See Connection</t>
  </si>
  <si>
    <t>6. Security Note</t>
  </si>
  <si>
    <t>7. Use Device</t>
  </si>
  <si>
    <t>7.2 Show connection status</t>
  </si>
  <si>
    <t>7.1 Connect/disconnect device</t>
  </si>
  <si>
    <t>7.3 Basic security settings</t>
  </si>
  <si>
    <t>7.4 Advanced security settings</t>
  </si>
  <si>
    <t>6.1 Security information pop-up</t>
  </si>
  <si>
    <t>6.2 Secure defaults</t>
  </si>
  <si>
    <t>Feature 5</t>
  </si>
  <si>
    <t>Step</t>
  </si>
  <si>
    <t>User Story</t>
  </si>
  <si>
    <t>Acceptance Criteria</t>
  </si>
  <si>
    <t>US1.1</t>
  </si>
  <si>
    <t>As a user, I want the device to have a QR code so that I can scan it easily.</t>
  </si>
  <si>
    <t>Given the user unpacks the device
When they look at it
Then a QR code is visible and scannable</t>
  </si>
  <si>
    <t>US1.2</t>
  </si>
  <si>
    <t>As a user, I want an instruction manual so that I know how to begin onboarding.</t>
  </si>
  <si>
    <t>Given the device is unpacked
When the user reads the manual
Then steps direct them to the app and QR code</t>
  </si>
  <si>
    <t>US2.1</t>
  </si>
  <si>
    <t>As a user, I want a visible app icon so that I can open the HomeGuard app easily.</t>
  </si>
  <si>
    <t>Given the app is installed
When the user views the home screen
Then the icon is visible and tappable</t>
  </si>
  <si>
    <t>US2.2</t>
  </si>
  <si>
    <t>US2.3</t>
  </si>
  <si>
    <t>As a user, I want an Add Device button so that I can start onboarding quickly.</t>
  </si>
  <si>
    <t>Given the user is on the home screen
When they click Add Device
Then onboarding starts</t>
  </si>
  <si>
    <t>US3.1</t>
  </si>
  <si>
    <t>As a user, I want the camera scanner to open so that I can scan the QR code.</t>
  </si>
  <si>
    <t>US3.2</t>
  </si>
  <si>
    <t>As a user, I want QR detection so that onboarding continues quickly.</t>
  </si>
  <si>
    <t>US3.3</t>
  </si>
  <si>
    <t>As a user, I want confirmation of successful scan so that I know to continue.</t>
  </si>
  <si>
    <t>US3.4</t>
  </si>
  <si>
    <t>Given pairing begins
When key exchange runs
Then no input is needed</t>
  </si>
  <si>
    <t>US5.1</t>
  </si>
  <si>
    <t>US5.2</t>
  </si>
  <si>
    <t>As a user, I want the device added to the map so that I see it in my network.</t>
  </si>
  <si>
    <t>Given device connected
When map refreshes
Then device appears</t>
  </si>
  <si>
    <t>US5.3</t>
  </si>
  <si>
    <t>As a user, I want basic info so that I can recognize the device.</t>
  </si>
  <si>
    <t>US6.1</t>
  </si>
  <si>
    <t>US6.2</t>
  </si>
  <si>
    <t>As a user, I want secure defaults so that my device is protected fast.</t>
  </si>
  <si>
    <t>Given recommendation shown
When user taps secure defaults
Then settings apply</t>
  </si>
  <si>
    <t>US6.3</t>
  </si>
  <si>
    <t>As a user, I want advanced security options so that I can customize behavior.</t>
  </si>
  <si>
    <t>Given advanced view selected
When advanced settings open
Then user can modify permissions</t>
  </si>
  <si>
    <t>US7.1</t>
  </si>
  <si>
    <t>US7.2</t>
  </si>
  <si>
    <t>US7.3</t>
  </si>
  <si>
    <t>US7.4</t>
  </si>
  <si>
    <t>As a user, I want a loading spinner so that I know the scan is being processes and I am not impatient.</t>
  </si>
  <si>
    <t>Given scanning is attempted
When QR information is being processed
Then the loading spinner is visible</t>
  </si>
  <si>
    <t>Given QR scan succeeded
When pairing starts
Then key exchange begins
Given pairing begins
When key exchange runs
Then no input is needed
And data is safely processed</t>
  </si>
  <si>
    <t>US2.4</t>
  </si>
  <si>
    <t>As a user, I want to see the list of my devices so that I know which devices are connected with secure protocol.</t>
  </si>
  <si>
    <t>Given the user has the HomeGuard application opened
When the main screen is opened
Then the device list is visible
And the devices connected are shown</t>
  </si>
  <si>
    <t>Given HomeGuard application is opened
When the user looks at the bottom of any screen
Then the bottom menu is visible
Given HomeGuard application is opened
When user clicks on any bottom menu item
Then the connected screen open</t>
  </si>
  <si>
    <t>As a user, I want a bottom menu so that I can navigate through the application screens.</t>
  </si>
  <si>
    <t>US2.5</t>
  </si>
  <si>
    <t>Given HomeGuard app is opened
When add device button is clicked
Then camera view opens</t>
  </si>
  <si>
    <t>Given the camera is opened
When the QR code is visible
Then camera scans the QR code</t>
  </si>
  <si>
    <t>Given the QR is scanned
When it is successful
Then confirmation appears
And camera closes
Given the QR is scanned
When it is wrong
Then window with information appears
And camera closes</t>
  </si>
  <si>
    <t>E4.1</t>
  </si>
  <si>
    <t>E4.2</t>
  </si>
  <si>
    <t>Given device onboarding is in process
When the connection was established
Then the success confirmation is displayed</t>
  </si>
  <si>
    <t>As a user I want to see a confirmation in HomeGuard app so that I know my data was correctly encrypted and the connection is secure.</t>
  </si>
  <si>
    <t>5.4 Load basic device profile</t>
  </si>
  <si>
    <t>5.5 Load advanced device profile</t>
  </si>
  <si>
    <t>Given Homeguard app is opened
When a device is visible on the list
Then the status is displayed</t>
  </si>
  <si>
    <t>Given HomeGuard app opened
When user clicks the device
Then basic device information is displayed</t>
  </si>
  <si>
    <t>US5.4</t>
  </si>
  <si>
    <t>US5.5</t>
  </si>
  <si>
    <t>Given HomeGuard app opened
When user clicks the device
Then basic device information is displayed
And the advanced information is displayed below</t>
  </si>
  <si>
    <t>As a user, I want advanced info so that I can analyze the device performance.</t>
  </si>
  <si>
    <t>Load basic device profile</t>
  </si>
  <si>
    <t>As a user, I want a security note so that I understand that my IoT network is secure.</t>
  </si>
  <si>
    <t>Given device connected
When device type recognized
Then security note shows</t>
  </si>
  <si>
    <t>Given the HomeGuard app is installed
When the user opens the app
Then the main screen appears</t>
  </si>
  <si>
    <t>As a user, I want a main screen so that I can perform actions in HomeGuard app.</t>
  </si>
  <si>
    <t>Given device in the list
When I click connection button
Then device status is updated</t>
  </si>
  <si>
    <t>As a user I want to be able to manage device connection so that I can connect or disconnect based on my needs.</t>
  </si>
  <si>
    <t>As a user I want to be able to see device connection status so that I know if I need to connect or disconnect.</t>
  </si>
  <si>
    <t>Given HomeGuard app opened
When device is on the list
Then the connection status is shown</t>
  </si>
  <si>
    <t>Given HomeGuard app opened
And device is on the list
When the user clicks the device
Then there is a button to change security settings
And advanced security settings are shown under basic security settings</t>
  </si>
  <si>
    <t>As a user I want to have ability to change advanced security settings so that i can configure the device deeply to my needs.</t>
  </si>
  <si>
    <t>As a user I want to have ability to change basic security settings so that i can configure the device to my needs.</t>
  </si>
  <si>
    <t>Given HomeGuard app opened
And device is on the list
When the user clicks the device
Then there is a button to change security settings
And basic security settings are shown</t>
  </si>
  <si>
    <t>E4.3</t>
  </si>
  <si>
    <t>ID</t>
  </si>
  <si>
    <t>Enabler</t>
  </si>
  <si>
    <t>Story</t>
  </si>
  <si>
    <t>Name</t>
  </si>
  <si>
    <t>Device Firmware with Privacy-Tuned Smart Device Protocol</t>
  </si>
  <si>
    <t>10.1 Import device bluetooth settings</t>
  </si>
  <si>
    <t>10. Set up device bluetooth</t>
  </si>
  <si>
    <t>11. Exchange protocol keys</t>
  </si>
  <si>
    <t>12. Exchange data and establish secure connection</t>
  </si>
  <si>
    <t>10.2 Set up beacon</t>
  </si>
  <si>
    <t>10.4 Energy management protocol</t>
  </si>
  <si>
    <t>11.1 Generate keys based on device ID</t>
  </si>
  <si>
    <t>11.3 Receive session key</t>
  </si>
  <si>
    <t>11.2 Send public keys to mobile phone application using bluetooth connection</t>
  </si>
  <si>
    <t>11.5 Send different keys based on connection type</t>
  </si>
  <si>
    <t>11.4 Differentiate keys between different connection types</t>
  </si>
  <si>
    <t>12.1 Ensure keys exchange</t>
  </si>
  <si>
    <t>12.2 Exchange handshake</t>
  </si>
  <si>
    <t>12.4 Check for connection stability</t>
  </si>
  <si>
    <t>12.5 Implement connection stability improvement algorithm</t>
  </si>
  <si>
    <t>E10.1</t>
  </si>
  <si>
    <t>E10.2</t>
  </si>
  <si>
    <t>E10.3</t>
  </si>
  <si>
    <t>E11.1</t>
  </si>
  <si>
    <t>E12.1</t>
  </si>
  <si>
    <t>E11.2</t>
  </si>
  <si>
    <t>E11.3</t>
  </si>
  <si>
    <t>E11.4</t>
  </si>
  <si>
    <t>E11.5</t>
  </si>
  <si>
    <t>E12.2</t>
  </si>
  <si>
    <t>E12.3</t>
  </si>
  <si>
    <t>E12.4</t>
  </si>
  <si>
    <t>E10.4</t>
  </si>
  <si>
    <t>As a developer, I want cryptographic exchange handled automatically so that I can create visual output to the user.</t>
  </si>
  <si>
    <t>As a developer, I want pairing to run the key exchange so that I will be able to show the user that the device connects securely.</t>
  </si>
  <si>
    <t>As a developer I want retry option so that pairing failures can be fixed.</t>
  </si>
  <si>
    <t>Given pairing fails
When error occurs
Then it is retried</t>
  </si>
  <si>
    <t>10.3 Connection to mobile phone HomeGuard app</t>
  </si>
  <si>
    <t>Given device is ON
When the firmware runs
Then the device bluetooth module is running and firmware has control over it</t>
  </si>
  <si>
    <t>Given device is ON
When the firmware runs
Then the device is listening for communication from the mobile app</t>
  </si>
  <si>
    <t>Given the firmware running
When the request from mobile app comes
Then the bluetooth connection is established</t>
  </si>
  <si>
    <t>Given established connection
When data is not exchanged
Then energy saving protocol is running</t>
  </si>
  <si>
    <t>Given bluetooth connection established
When data exchange is requested
Then keys are generated</t>
  </si>
  <si>
    <t>Given keys generated
When data echange is requested
Then the public key is exchanged with the HomeGuard app</t>
  </si>
  <si>
    <t>Given connection established
When public key is received by HomeGuard
Then session key is sent by HomeGuard and validated by the device</t>
  </si>
  <si>
    <t>Given a connection type different than bluetooth
When a key is exchanged
Then the keys are different as for the different connection needs</t>
  </si>
  <si>
    <t>Given a connection type different than bluetooth
When a key is generated
Then the keys are different as for the different connection needs</t>
  </si>
  <si>
    <t>Given the bluetooth connection established
When the exchanged keys are correct
Then the connection is set as secure</t>
  </si>
  <si>
    <t>Given the bluetooth connection established
When the connection is set as secure
Then the handshake is exchanged between the device and HomeGuard app</t>
  </si>
  <si>
    <t>Given the bluetooth connection established
When the connection is set as secure
Then the connection stability status is being calculated</t>
  </si>
  <si>
    <t>Given the bluetooth connection established
When the connection stability status is calculated
And the status is below treshold
Then the improvement algorithm is running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</si>
</sst>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1"/>
      <color theme="1"/>
      <name val="Calibri"/>
      <family val="2"/>
      <charset val="238"/>
      <scheme val="minor"/>
    </font>
    <font>
      <b/>
      <sz val="11"/>
      <name val="Calibri"/>
      <family val="2"/>
      <scheme val="minor"/>
    </font>
    <font>
      <sz val="11"/>
      <name val="Calibri"/>
      <family val="2"/>
      <scheme val="minor"/>
    </font>
    <font>
      <sz val="11"/>
      <name val="Calibri"/>
      <family val="2"/>
      <charset val="238"/>
      <scheme val="minor"/>
    </font>
  </fonts>
  <fills count="8">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7"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7">
    <xf numFmtId="0" fontId="0" fillId="0" borderId="0" xfId="0"/>
    <xf numFmtId="0" fontId="0" fillId="4" borderId="0" xfId="0" applyFill="1"/>
    <xf numFmtId="0" fontId="0" fillId="4" borderId="1" xfId="0" applyFill="1" applyBorder="1"/>
    <xf numFmtId="0" fontId="0" fillId="5" borderId="1" xfId="0" applyFill="1" applyBorder="1"/>
    <xf numFmtId="0" fontId="0" fillId="5" borderId="0" xfId="0" applyFill="1"/>
    <xf numFmtId="0" fontId="3" fillId="2" borderId="2" xfId="0" applyFont="1" applyFill="1" applyBorder="1"/>
    <xf numFmtId="0" fontId="4" fillId="0" borderId="0" xfId="0" applyFont="1"/>
    <xf numFmtId="0" fontId="3" fillId="3" borderId="3" xfId="0" applyFont="1" applyFill="1" applyBorder="1"/>
    <xf numFmtId="0" fontId="3" fillId="2" borderId="4" xfId="0" applyFont="1" applyFill="1" applyBorder="1"/>
    <xf numFmtId="0" fontId="2" fillId="3" borderId="5" xfId="0" applyFont="1" applyFill="1" applyBorder="1"/>
    <xf numFmtId="0" fontId="0" fillId="4" borderId="6" xfId="0" applyFill="1" applyBorder="1"/>
    <xf numFmtId="0" fontId="0" fillId="4" borderId="7" xfId="0" applyFill="1" applyBorder="1"/>
    <xf numFmtId="16" fontId="0" fillId="4" borderId="7" xfId="0" applyNumberFormat="1" applyFill="1" applyBorder="1"/>
    <xf numFmtId="0" fontId="0" fillId="4" borderId="8" xfId="0" applyFill="1" applyBorder="1"/>
    <xf numFmtId="0" fontId="0" fillId="5" borderId="6" xfId="0" applyFill="1" applyBorder="1"/>
    <xf numFmtId="0" fontId="0" fillId="6" borderId="0" xfId="0" applyFill="1" applyAlignment="1">
      <alignment vertical="center"/>
    </xf>
    <xf numFmtId="0" fontId="0" fillId="0" borderId="0" xfId="0" applyAlignment="1">
      <alignment vertical="center"/>
    </xf>
    <xf numFmtId="0" fontId="0" fillId="7" borderId="0" xfId="0" applyFill="1" applyAlignment="1">
      <alignment vertical="center"/>
    </xf>
    <xf numFmtId="0" fontId="2" fillId="4" borderId="0" xfId="0" applyFont="1" applyFill="1" applyAlignment="1">
      <alignment vertical="center"/>
    </xf>
    <xf numFmtId="0" fontId="2" fillId="7" borderId="0" xfId="0" applyFont="1" applyFill="1" applyAlignment="1">
      <alignment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7" borderId="1" xfId="0" applyFont="1" applyFill="1" applyBorder="1" applyAlignment="1">
      <alignment vertical="center"/>
    </xf>
    <xf numFmtId="0" fontId="4" fillId="7" borderId="1" xfId="0" applyFont="1" applyFill="1" applyBorder="1" applyAlignment="1">
      <alignment vertical="center" wrapText="1"/>
    </xf>
    <xf numFmtId="0" fontId="0" fillId="5" borderId="1" xfId="0" applyFont="1" applyFill="1" applyBorder="1"/>
    <xf numFmtId="0" fontId="0" fillId="4" borderId="1" xfId="0" applyFont="1" applyFill="1" applyBorder="1"/>
    <xf numFmtId="16" fontId="0" fillId="5" borderId="1" xfId="0" applyNumberFormat="1" applyFont="1" applyFill="1" applyBorder="1"/>
    <xf numFmtId="0" fontId="0" fillId="5" borderId="6" xfId="0" applyFont="1" applyFill="1" applyBorder="1"/>
    <xf numFmtId="0" fontId="0" fillId="4" borderId="6" xfId="0" applyFont="1" applyFill="1" applyBorder="1"/>
    <xf numFmtId="16" fontId="0" fillId="4" borderId="6" xfId="0" applyNumberFormat="1" applyFont="1" applyFill="1" applyBorder="1"/>
    <xf numFmtId="0" fontId="2" fillId="3" borderId="9" xfId="0" applyFont="1" applyFill="1" applyBorder="1"/>
    <xf numFmtId="0" fontId="0" fillId="4" borderId="7" xfId="0" applyFont="1" applyFill="1" applyBorder="1"/>
    <xf numFmtId="16" fontId="0" fillId="4" borderId="7" xfId="0" applyNumberFormat="1" applyFont="1" applyFill="1" applyBorder="1"/>
    <xf numFmtId="0" fontId="0" fillId="4" borderId="8" xfId="0" applyFont="1" applyFill="1" applyBorder="1"/>
    <xf numFmtId="0" fontId="5" fillId="7" borderId="1" xfId="0" applyFont="1" applyFill="1" applyBorder="1" applyAlignment="1">
      <alignment vertical="center"/>
    </xf>
    <xf numFmtId="0" fontId="0" fillId="7" borderId="1" xfId="0" applyFill="1" applyBorder="1" applyAlignment="1">
      <alignment vertical="center"/>
    </xf>
    <xf numFmtId="0" fontId="0" fillId="7" borderId="1" xfId="0" applyFill="1" applyBorder="1" applyAlignment="1">
      <alignment vertical="center" wrapText="1"/>
    </xf>
  </cellXfs>
  <cellStyles count="1">
    <cellStyle name="Normalny" xfId="0" builtinId="0"/>
  </cellStyles>
  <dxfs count="31">
    <dxf>
      <font>
        <strike val="0"/>
        <outline val="0"/>
        <shadow val="0"/>
        <u val="none"/>
        <vertAlign val="baseline"/>
        <sz val="11"/>
        <color auto="1"/>
        <name val="Calibri"/>
        <family val="2"/>
        <scheme val="minor"/>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family val="2"/>
        <scheme val="minor"/>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238"/>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theme="4"/>
        </bottom>
      </border>
    </dxf>
    <dxf>
      <font>
        <strike val="0"/>
        <outline val="0"/>
        <shadow val="0"/>
        <u val="none"/>
        <vertAlign val="baseline"/>
        <sz val="11"/>
        <color auto="1"/>
        <name val="Calibri"/>
        <family val="2"/>
        <scheme val="minor"/>
      </font>
      <alignment horizontal="general" vertical="center" textRotation="0" indent="0" justifyLastLine="0" shrinkToFit="0" readingOrder="0"/>
    </dxf>
    <dxf>
      <fill>
        <patternFill patternType="solid">
          <fgColor indexed="64"/>
          <bgColor theme="7" tint="0.39997558519241921"/>
        </patternFill>
      </fill>
      <alignment horizontal="general" vertical="center" textRotation="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charset val="238"/>
        <scheme val="minor"/>
      </font>
      <fill>
        <patternFill patternType="solid">
          <fgColor indexed="64"/>
          <bgColor theme="4" tint="0.79998168889431442"/>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6"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charset val="238"/>
        <scheme val="minor"/>
      </font>
      <fill>
        <patternFill patternType="solid">
          <fgColor indexed="64"/>
          <bgColor theme="4"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6" tint="0.79998168889431442"/>
        </patternFill>
      </fill>
    </dxf>
    <dxf>
      <border>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E0A7F-BB4F-4BDE-A642-52BFB87453A8}" name="Tabela2" displayName="Tabela2" ref="A1:H6" totalsRowShown="0" headerRowDxfId="30" dataDxfId="28" headerRowBorderDxfId="29" tableBorderDxfId="27" totalsRowBorderDxfId="26">
  <autoFilter ref="A1:H6" xr:uid="{A21E0A7F-BB4F-4BDE-A642-52BFB87453A8}"/>
  <tableColumns count="8">
    <tableColumn id="1" xr3:uid="{3D043F1F-14D1-443A-9E49-75C310A69C02}" name="User Journey" dataDxfId="25"/>
    <tableColumn id="2" xr3:uid="{817A37F1-0EA8-4F05-B834-AB936B045108}" name="1. Unpack The Device" dataDxfId="24"/>
    <tableColumn id="3" xr3:uid="{07C082F0-0E2F-4FE0-931A-30473110F396}" name="2. Open App" dataDxfId="23"/>
    <tableColumn id="4" xr3:uid="{2A1A6FC2-F5EB-43B6-A97F-846B1A1D8951}" name="3. Scan QR Code" dataDxfId="22"/>
    <tableColumn id="5" xr3:uid="{6D12A665-90DB-4074-A462-0CD37108336F}" name="4. Secure Pairing" dataDxfId="21"/>
    <tableColumn id="6" xr3:uid="{1743114B-01C7-47B6-966F-79B2DC546BA2}" name="5. See Connection" dataDxfId="20"/>
    <tableColumn id="7" xr3:uid="{101D4D22-33DD-474D-A0A9-84B029559DF3}" name="6. Security Note" dataDxfId="19"/>
    <tableColumn id="8" xr3:uid="{8BB13731-E190-45A5-A805-DD42B4771B70}" name="7. Use Device" dataDxfId="1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BA2CA0-54DF-49BE-881D-C4408A2DE1C0}" name="Tabela3" displayName="Tabela3" ref="A15:D20" totalsRowShown="0" headerRowDxfId="12" headerRowBorderDxfId="16" tableBorderDxfId="17" totalsRowBorderDxfId="15">
  <autoFilter ref="A15:D20" xr:uid="{D0BA2CA0-54DF-49BE-881D-C4408A2DE1C0}"/>
  <tableColumns count="4">
    <tableColumn id="1" xr3:uid="{1230F03C-C2EB-45F1-B9A1-9AD74F5EC7A2}" name="Device Firmware with Privacy-Tuned Smart Device Protocol" dataDxfId="14"/>
    <tableColumn id="2" xr3:uid="{F3A10773-0F0A-4C06-8A63-E52FC4019413}" name="10. Set up device bluetooth" dataDxfId="13"/>
    <tableColumn id="3" xr3:uid="{55E1B1AC-0A6D-43B9-B218-8352877C9259}" name="11. Exchange protocol keys"/>
    <tableColumn id="4" xr3:uid="{8EAE05D1-8B9C-497F-A5A7-A6A612CAEA2F}" name="12. Exchange data and establish secure connec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B3D34F-B875-4993-9583-517C7A228CFA}" name="Tabela1" displayName="Tabela1" ref="A2:E28" totalsRowShown="0" headerRowDxfId="11" dataDxfId="10">
  <autoFilter ref="A2:E28" xr:uid="{FDB3D34F-B875-4993-9583-517C7A228CFA}"/>
  <tableColumns count="5">
    <tableColumn id="1" xr3:uid="{118E91D1-00F1-42F6-9E02-866761859E49}" name="Step" dataDxfId="8" totalsRowDxfId="9">
      <calculatedColumnFormula>Tabela2[[#Headers],[7. Use Device]]</calculatedColumnFormula>
    </tableColumn>
    <tableColumn id="2" xr3:uid="{B22BE939-BA72-4A25-ABE4-76EAAF8D34BF}" name="ID" dataDxfId="6" totalsRowDxfId="7"/>
    <tableColumn id="5" xr3:uid="{FDB88555-C521-4091-92DC-967EBE9E4630}" name="Name" dataDxfId="4" totalsRowDxfId="5"/>
    <tableColumn id="3" xr3:uid="{9387D76D-D771-4197-8E53-ECB36760E0F7}" name="User Story" dataDxfId="2" totalsRowDxfId="3"/>
    <tableColumn id="4" xr3:uid="{9A4DB8F3-E42F-4AEF-9F37-B344488A0BDC}" name="Acceptance Criteria" dataDxfId="0" totalsRowDxfId="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opLeftCell="B1" workbookViewId="0">
      <selection activeCell="D19" sqref="D19"/>
    </sheetView>
  </sheetViews>
  <sheetFormatPr defaultRowHeight="14.4" x14ac:dyDescent="0.3"/>
  <cols>
    <col min="1" max="1" width="52.33203125" customWidth="1"/>
    <col min="2" max="2" width="42.6640625" bestFit="1" customWidth="1"/>
    <col min="3" max="3" width="64.33203125" bestFit="1" customWidth="1"/>
    <col min="4" max="4" width="49.6640625" bestFit="1" customWidth="1"/>
    <col min="5" max="5" width="35.88671875" customWidth="1"/>
    <col min="6" max="6" width="36.88671875" customWidth="1"/>
    <col min="7" max="7" width="35.5546875" customWidth="1"/>
    <col min="8" max="8" width="30.109375" customWidth="1"/>
  </cols>
  <sheetData>
    <row r="1" spans="1:8" s="6" customFormat="1" x14ac:dyDescent="0.3">
      <c r="A1" s="7" t="s">
        <v>0</v>
      </c>
      <c r="B1" s="5" t="s">
        <v>25</v>
      </c>
      <c r="C1" s="5" t="s">
        <v>26</v>
      </c>
      <c r="D1" s="5" t="s">
        <v>27</v>
      </c>
      <c r="E1" s="5" t="s">
        <v>28</v>
      </c>
      <c r="F1" s="5" t="s">
        <v>29</v>
      </c>
      <c r="G1" s="5" t="s">
        <v>30</v>
      </c>
      <c r="H1" s="8" t="s">
        <v>31</v>
      </c>
    </row>
    <row r="2" spans="1:8" x14ac:dyDescent="0.3">
      <c r="A2" s="9" t="s">
        <v>1</v>
      </c>
      <c r="B2" s="3" t="s">
        <v>10</v>
      </c>
      <c r="C2" s="3" t="s">
        <v>13</v>
      </c>
      <c r="D2" s="3" t="s">
        <v>18</v>
      </c>
      <c r="E2" s="3" t="s">
        <v>4</v>
      </c>
      <c r="F2" s="3" t="s">
        <v>23</v>
      </c>
      <c r="G2" s="3" t="s">
        <v>36</v>
      </c>
      <c r="H2" s="14" t="s">
        <v>33</v>
      </c>
    </row>
    <row r="3" spans="1:8" x14ac:dyDescent="0.3">
      <c r="A3" s="9" t="s">
        <v>2</v>
      </c>
      <c r="B3" s="2" t="s">
        <v>9</v>
      </c>
      <c r="C3" s="3" t="s">
        <v>14</v>
      </c>
      <c r="D3" s="3" t="s">
        <v>19</v>
      </c>
      <c r="E3" s="3" t="s">
        <v>5</v>
      </c>
      <c r="F3" s="3" t="s">
        <v>7</v>
      </c>
      <c r="G3" s="2" t="s">
        <v>37</v>
      </c>
      <c r="H3" s="14" t="s">
        <v>32</v>
      </c>
    </row>
    <row r="4" spans="1:8" x14ac:dyDescent="0.3">
      <c r="A4" s="9" t="s">
        <v>3</v>
      </c>
      <c r="B4" s="2"/>
      <c r="C4" s="2" t="s">
        <v>24</v>
      </c>
      <c r="D4" s="3" t="s">
        <v>20</v>
      </c>
      <c r="E4" s="2" t="s">
        <v>6</v>
      </c>
      <c r="F4" s="3" t="s">
        <v>22</v>
      </c>
      <c r="G4" s="2" t="s">
        <v>8</v>
      </c>
      <c r="H4" s="10" t="s">
        <v>34</v>
      </c>
    </row>
    <row r="5" spans="1:8" x14ac:dyDescent="0.3">
      <c r="A5" s="9" t="s">
        <v>15</v>
      </c>
      <c r="B5" s="2"/>
      <c r="C5" s="2" t="s">
        <v>16</v>
      </c>
      <c r="D5" s="2" t="s">
        <v>21</v>
      </c>
      <c r="E5" s="2"/>
      <c r="F5" s="2" t="s">
        <v>96</v>
      </c>
      <c r="G5" s="2"/>
      <c r="H5" s="10" t="s">
        <v>35</v>
      </c>
    </row>
    <row r="6" spans="1:8" x14ac:dyDescent="0.3">
      <c r="A6" s="9" t="s">
        <v>38</v>
      </c>
      <c r="B6" s="11"/>
      <c r="C6" s="12" t="s">
        <v>17</v>
      </c>
      <c r="D6" s="11"/>
      <c r="E6" s="11"/>
      <c r="F6" s="11" t="s">
        <v>97</v>
      </c>
      <c r="G6" s="11"/>
      <c r="H6" s="13"/>
    </row>
    <row r="11" spans="1:8" x14ac:dyDescent="0.3">
      <c r="A11" s="4" t="s">
        <v>11</v>
      </c>
    </row>
    <row r="12" spans="1:8" x14ac:dyDescent="0.3">
      <c r="A12" s="1" t="s">
        <v>12</v>
      </c>
    </row>
    <row r="15" spans="1:8" x14ac:dyDescent="0.3">
      <c r="A15" s="7" t="s">
        <v>122</v>
      </c>
      <c r="B15" s="5" t="s">
        <v>124</v>
      </c>
      <c r="C15" s="5" t="s">
        <v>125</v>
      </c>
      <c r="D15" s="8" t="s">
        <v>126</v>
      </c>
    </row>
    <row r="16" spans="1:8" x14ac:dyDescent="0.3">
      <c r="A16" s="9" t="s">
        <v>1</v>
      </c>
      <c r="B16" s="24" t="s">
        <v>123</v>
      </c>
      <c r="C16" s="24" t="s">
        <v>129</v>
      </c>
      <c r="D16" s="27" t="s">
        <v>134</v>
      </c>
    </row>
    <row r="17" spans="1:4" x14ac:dyDescent="0.3">
      <c r="A17" s="9" t="s">
        <v>2</v>
      </c>
      <c r="B17" s="24" t="s">
        <v>127</v>
      </c>
      <c r="C17" s="26" t="s">
        <v>131</v>
      </c>
      <c r="D17" s="27" t="s">
        <v>135</v>
      </c>
    </row>
    <row r="18" spans="1:4" x14ac:dyDescent="0.3">
      <c r="A18" s="9" t="s">
        <v>3</v>
      </c>
      <c r="B18" s="24" t="s">
        <v>155</v>
      </c>
      <c r="C18" s="24" t="s">
        <v>130</v>
      </c>
      <c r="D18" s="28" t="s">
        <v>136</v>
      </c>
    </row>
    <row r="19" spans="1:4" x14ac:dyDescent="0.3">
      <c r="A19" s="9" t="s">
        <v>15</v>
      </c>
      <c r="B19" s="25" t="s">
        <v>128</v>
      </c>
      <c r="C19" s="25" t="s">
        <v>133</v>
      </c>
      <c r="D19" s="29" t="s">
        <v>137</v>
      </c>
    </row>
    <row r="20" spans="1:4" x14ac:dyDescent="0.3">
      <c r="A20" s="30" t="s">
        <v>38</v>
      </c>
      <c r="B20" s="31"/>
      <c r="C20" s="32" t="s">
        <v>132</v>
      </c>
      <c r="D20" s="33"/>
    </row>
  </sheetData>
  <phoneticPr fontId="1" type="noConversion"/>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969E9-71A2-496D-8AD3-8391D2D4C914}">
  <dimension ref="A1:E41"/>
  <sheetViews>
    <sheetView tabSelected="1" topLeftCell="C12" zoomScale="87" workbookViewId="0">
      <selection activeCell="D16" sqref="D14:D16"/>
    </sheetView>
  </sheetViews>
  <sheetFormatPr defaultRowHeight="14.4" x14ac:dyDescent="0.3"/>
  <cols>
    <col min="1" max="1" width="44.33203125" style="16" bestFit="1" customWidth="1"/>
    <col min="2" max="2" width="15.21875" style="16" customWidth="1"/>
    <col min="3" max="3" width="112.44140625" style="16" bestFit="1" customWidth="1"/>
    <col min="4" max="4" width="113" style="16" bestFit="1" customWidth="1"/>
    <col min="5" max="5" width="41" style="16" customWidth="1"/>
    <col min="6" max="16384" width="8.88671875" style="16"/>
  </cols>
  <sheetData>
    <row r="1" spans="1:5" ht="78" customHeight="1" x14ac:dyDescent="0.3">
      <c r="A1" s="18" t="s">
        <v>120</v>
      </c>
      <c r="B1" s="19" t="s">
        <v>119</v>
      </c>
    </row>
    <row r="2" spans="1:5" x14ac:dyDescent="0.3">
      <c r="A2" s="15" t="s">
        <v>39</v>
      </c>
      <c r="B2" s="15" t="s">
        <v>118</v>
      </c>
      <c r="C2" s="15" t="s">
        <v>121</v>
      </c>
      <c r="D2" s="15" t="s">
        <v>40</v>
      </c>
      <c r="E2" s="15" t="s">
        <v>41</v>
      </c>
    </row>
    <row r="3" spans="1:5" ht="43.2" x14ac:dyDescent="0.3">
      <c r="A3" s="20" t="str">
        <f>Tabela2[[#Headers],[1. Unpack The Device]]</f>
        <v>1. Unpack The Device</v>
      </c>
      <c r="B3" s="20" t="s">
        <v>42</v>
      </c>
      <c r="C3" s="20" t="str">
        <f>'Features from steps'!B2</f>
        <v>1.1 Qr code on the device</v>
      </c>
      <c r="D3" s="20" t="s">
        <v>43</v>
      </c>
      <c r="E3" s="21" t="s">
        <v>44</v>
      </c>
    </row>
    <row r="4" spans="1:5" ht="43.2" x14ac:dyDescent="0.3">
      <c r="A4" s="20" t="str">
        <f>Tabela2[[#Headers],[1. Unpack The Device]]</f>
        <v>1. Unpack The Device</v>
      </c>
      <c r="B4" s="20" t="s">
        <v>45</v>
      </c>
      <c r="C4" s="20" t="str">
        <f>'Features from steps'!B3</f>
        <v>1.2 Instruction manual in the box</v>
      </c>
      <c r="D4" s="20" t="s">
        <v>46</v>
      </c>
      <c r="E4" s="21" t="s">
        <v>47</v>
      </c>
    </row>
    <row r="5" spans="1:5" ht="43.2" x14ac:dyDescent="0.3">
      <c r="A5" s="20" t="str">
        <f>Tabela2[[#Headers],[2. Open App]]</f>
        <v>2. Open App</v>
      </c>
      <c r="B5" s="20" t="s">
        <v>48</v>
      </c>
      <c r="C5" s="20" t="str">
        <f>'Features from steps'!C2</f>
        <v>2.1 Clickable App icon on mobile phone</v>
      </c>
      <c r="D5" s="20" t="s">
        <v>49</v>
      </c>
      <c r="E5" s="21" t="s">
        <v>50</v>
      </c>
    </row>
    <row r="6" spans="1:5" ht="43.2" x14ac:dyDescent="0.3">
      <c r="A6" s="20" t="str">
        <f>Tabela2[[#Headers],[2. Open App]]</f>
        <v>2. Open App</v>
      </c>
      <c r="B6" s="20" t="s">
        <v>51</v>
      </c>
      <c r="C6" s="20" t="str">
        <f>'Features from steps'!C3</f>
        <v>2.2 Main app screen</v>
      </c>
      <c r="D6" s="20" t="s">
        <v>108</v>
      </c>
      <c r="E6" s="21" t="s">
        <v>107</v>
      </c>
    </row>
    <row r="7" spans="1:5" ht="43.2" x14ac:dyDescent="0.3">
      <c r="A7" s="20" t="str">
        <f>Tabela2[[#Headers],[2. Open App]]</f>
        <v>2. Open App</v>
      </c>
      <c r="B7" s="20" t="s">
        <v>52</v>
      </c>
      <c r="C7" s="20" t="str">
        <f>'Features from steps'!C4</f>
        <v>2.3 "Add device" button</v>
      </c>
      <c r="D7" s="20" t="s">
        <v>53</v>
      </c>
      <c r="E7" s="21" t="s">
        <v>54</v>
      </c>
    </row>
    <row r="8" spans="1:5" ht="72" x14ac:dyDescent="0.3">
      <c r="A8" s="21" t="str">
        <f>Tabela2[[#Headers],[2. Open App]]</f>
        <v>2. Open App</v>
      </c>
      <c r="B8" s="21" t="s">
        <v>83</v>
      </c>
      <c r="C8" s="20" t="str">
        <f>'Features from steps'!C5</f>
        <v>2.4 Item list screen</v>
      </c>
      <c r="D8" s="21" t="s">
        <v>84</v>
      </c>
      <c r="E8" s="21" t="s">
        <v>85</v>
      </c>
    </row>
    <row r="9" spans="1:5" ht="115.2" x14ac:dyDescent="0.3">
      <c r="A9" s="21" t="str">
        <f>Tabela2[[#Headers],[2. Open App]]</f>
        <v>2. Open App</v>
      </c>
      <c r="B9" s="21" t="s">
        <v>88</v>
      </c>
      <c r="C9" s="20" t="str">
        <f>'Features from steps'!C6</f>
        <v>2.5 Bottom menu</v>
      </c>
      <c r="D9" s="21" t="s">
        <v>87</v>
      </c>
      <c r="E9" s="21" t="s">
        <v>86</v>
      </c>
    </row>
    <row r="10" spans="1:5" ht="43.2" x14ac:dyDescent="0.3">
      <c r="A10" s="20" t="str">
        <f>Tabela2[[#Headers],[3. Scan QR Code]]</f>
        <v>3. Scan QR Code</v>
      </c>
      <c r="B10" s="20" t="s">
        <v>55</v>
      </c>
      <c r="C10" s="20" t="str">
        <f>'Features from steps'!D2</f>
        <v>3.1 Camera scanner</v>
      </c>
      <c r="D10" s="20" t="s">
        <v>56</v>
      </c>
      <c r="E10" s="21" t="s">
        <v>89</v>
      </c>
    </row>
    <row r="11" spans="1:5" ht="43.2" x14ac:dyDescent="0.3">
      <c r="A11" s="20" t="str">
        <f>Tabela2[[#Headers],[3. Scan QR Code]]</f>
        <v>3. Scan QR Code</v>
      </c>
      <c r="B11" s="20" t="s">
        <v>57</v>
      </c>
      <c r="C11" s="20" t="str">
        <f>'Features from steps'!D3</f>
        <v>3.2 QR Detector</v>
      </c>
      <c r="D11" s="20" t="s">
        <v>58</v>
      </c>
      <c r="E11" s="21" t="s">
        <v>90</v>
      </c>
    </row>
    <row r="12" spans="1:5" ht="129.6" x14ac:dyDescent="0.3">
      <c r="A12" s="20" t="str">
        <f>Tabela2[[#Headers],[3. Scan QR Code]]</f>
        <v>3. Scan QR Code</v>
      </c>
      <c r="B12" s="20" t="s">
        <v>59</v>
      </c>
      <c r="C12" s="20" t="str">
        <f>'Features from steps'!D4</f>
        <v>3.3 Scan feedback</v>
      </c>
      <c r="D12" s="20" t="s">
        <v>60</v>
      </c>
      <c r="E12" s="21" t="s">
        <v>91</v>
      </c>
    </row>
    <row r="13" spans="1:5" ht="43.2" x14ac:dyDescent="0.3">
      <c r="A13" s="20" t="str">
        <f>Tabela2[[#Headers],[3. Scan QR Code]]</f>
        <v>3. Scan QR Code</v>
      </c>
      <c r="B13" s="20" t="s">
        <v>61</v>
      </c>
      <c r="C13" s="20" t="str">
        <f>'Features from steps'!D5</f>
        <v>3.4 Loading spinner</v>
      </c>
      <c r="D13" s="20" t="s">
        <v>80</v>
      </c>
      <c r="E13" s="21" t="s">
        <v>81</v>
      </c>
    </row>
    <row r="14" spans="1:5" s="17" customFormat="1" ht="115.2" x14ac:dyDescent="0.3">
      <c r="A14" s="22" t="str">
        <f>Tabela2[[#Headers],[4. Secure Pairing]]</f>
        <v>4. Secure Pairing</v>
      </c>
      <c r="B14" s="22" t="s">
        <v>92</v>
      </c>
      <c r="C14" s="22" t="str">
        <f>'Features from steps'!E2</f>
        <v>4.1 Run secure key exchange</v>
      </c>
      <c r="D14" s="22" t="s">
        <v>152</v>
      </c>
      <c r="E14" s="23" t="s">
        <v>82</v>
      </c>
    </row>
    <row r="15" spans="1:5" s="17" customFormat="1" ht="43.2" x14ac:dyDescent="0.3">
      <c r="A15" s="22" t="str">
        <f>Tabela2[[#Headers],[4. Secure Pairing]]</f>
        <v>4. Secure Pairing</v>
      </c>
      <c r="B15" s="22" t="s">
        <v>93</v>
      </c>
      <c r="C15" s="22" t="str">
        <f>'Features from steps'!E3</f>
        <v>4.2 Establish encrypted communication</v>
      </c>
      <c r="D15" s="22" t="s">
        <v>151</v>
      </c>
      <c r="E15" s="23" t="s">
        <v>62</v>
      </c>
    </row>
    <row r="16" spans="1:5" s="17" customFormat="1" ht="43.2" x14ac:dyDescent="0.3">
      <c r="A16" s="22" t="str">
        <f>Tabela2[[#Headers],[4. Secure Pairing]]</f>
        <v>4. Secure Pairing</v>
      </c>
      <c r="B16" s="22" t="s">
        <v>117</v>
      </c>
      <c r="C16" s="22" t="str">
        <f>'Features from steps'!E4</f>
        <v>4.3 Retry pairing if needed</v>
      </c>
      <c r="D16" s="22" t="s">
        <v>153</v>
      </c>
      <c r="E16" s="23" t="s">
        <v>154</v>
      </c>
    </row>
    <row r="17" spans="1:5" ht="43.2" x14ac:dyDescent="0.3">
      <c r="A17" s="20" t="str">
        <f>Tabela2[[#Headers],[5. See Connection]]</f>
        <v>5. See Connection</v>
      </c>
      <c r="B17" s="20" t="s">
        <v>63</v>
      </c>
      <c r="C17" s="20" t="str">
        <f>'Features from steps'!F2</f>
        <v>5.1 Success confirmation</v>
      </c>
      <c r="D17" s="20" t="s">
        <v>95</v>
      </c>
      <c r="E17" s="21" t="s">
        <v>94</v>
      </c>
    </row>
    <row r="18" spans="1:5" ht="43.2" x14ac:dyDescent="0.3">
      <c r="A18" s="20" t="str">
        <f>Tabela2[[#Headers],[5. See Connection]]</f>
        <v>5. See Connection</v>
      </c>
      <c r="B18" s="20" t="s">
        <v>64</v>
      </c>
      <c r="C18" s="20" t="str">
        <f>'Features from steps'!F3</f>
        <v>5.2 Add device to device map</v>
      </c>
      <c r="D18" s="20" t="s">
        <v>65</v>
      </c>
      <c r="E18" s="21" t="s">
        <v>66</v>
      </c>
    </row>
    <row r="19" spans="1:5" ht="43.2" x14ac:dyDescent="0.3">
      <c r="A19" s="20" t="str">
        <f>Tabela2[[#Headers],[5. See Connection]]</f>
        <v>5. See Connection</v>
      </c>
      <c r="B19" s="20" t="s">
        <v>67</v>
      </c>
      <c r="C19" s="20" t="str">
        <f>'Features from steps'!F4</f>
        <v>5.3 Show current status</v>
      </c>
      <c r="D19" s="20" t="s">
        <v>68</v>
      </c>
      <c r="E19" s="21" t="s">
        <v>98</v>
      </c>
    </row>
    <row r="20" spans="1:5" ht="43.2" x14ac:dyDescent="0.3">
      <c r="A20" s="20" t="str">
        <f>Tabela2[[#Headers],[5. See Connection]]</f>
        <v>5. See Connection</v>
      </c>
      <c r="B20" s="20" t="s">
        <v>100</v>
      </c>
      <c r="C20" s="20" t="str">
        <f>'Features from steps'!F5</f>
        <v>5.4 Load basic device profile</v>
      </c>
      <c r="D20" s="20" t="s">
        <v>104</v>
      </c>
      <c r="E20" s="21" t="s">
        <v>99</v>
      </c>
    </row>
    <row r="21" spans="1:5" ht="72" x14ac:dyDescent="0.3">
      <c r="A21" s="20" t="str">
        <f>Tabela2[[#Headers],[5. See Connection]]</f>
        <v>5. See Connection</v>
      </c>
      <c r="B21" s="20" t="s">
        <v>101</v>
      </c>
      <c r="C21" s="20" t="str">
        <f>'Features from steps'!F6</f>
        <v>5.5 Load advanced device profile</v>
      </c>
      <c r="D21" s="20" t="s">
        <v>103</v>
      </c>
      <c r="E21" s="21" t="s">
        <v>102</v>
      </c>
    </row>
    <row r="22" spans="1:5" ht="43.2" x14ac:dyDescent="0.3">
      <c r="A22" s="20" t="str">
        <f>Tabela2[[#Headers],[6. Security Note]]</f>
        <v>6. Security Note</v>
      </c>
      <c r="B22" s="20" t="s">
        <v>69</v>
      </c>
      <c r="C22" s="20" t="str">
        <f>'Features from steps'!G2</f>
        <v>6.1 Security information pop-up</v>
      </c>
      <c r="D22" s="20" t="s">
        <v>105</v>
      </c>
      <c r="E22" s="21" t="s">
        <v>106</v>
      </c>
    </row>
    <row r="23" spans="1:5" ht="43.2" x14ac:dyDescent="0.3">
      <c r="A23" s="20" t="str">
        <f>Tabela2[[#Headers],[6. Security Note]]</f>
        <v>6. Security Note</v>
      </c>
      <c r="B23" s="20" t="s">
        <v>70</v>
      </c>
      <c r="C23" s="20" t="str">
        <f>'Features from steps'!G3</f>
        <v>6.2 Secure defaults</v>
      </c>
      <c r="D23" s="20" t="s">
        <v>71</v>
      </c>
      <c r="E23" s="21" t="s">
        <v>72</v>
      </c>
    </row>
    <row r="24" spans="1:5" ht="43.2" x14ac:dyDescent="0.3">
      <c r="A24" s="20" t="str">
        <f>Tabela2[[#Headers],[6. Security Note]]</f>
        <v>6. Security Note</v>
      </c>
      <c r="B24" s="20" t="s">
        <v>73</v>
      </c>
      <c r="C24" s="20" t="str">
        <f>'Features from steps'!G4</f>
        <v>6.3 Allow advanced security view</v>
      </c>
      <c r="D24" s="20" t="s">
        <v>74</v>
      </c>
      <c r="E24" s="21" t="s">
        <v>75</v>
      </c>
    </row>
    <row r="25" spans="1:5" ht="43.2" x14ac:dyDescent="0.3">
      <c r="A25" s="20" t="str">
        <f>Tabela2[[#Headers],[7. Use Device]]</f>
        <v>7. Use Device</v>
      </c>
      <c r="B25" s="20" t="s">
        <v>76</v>
      </c>
      <c r="C25" s="20" t="str">
        <f>'Features from steps'!H2</f>
        <v>7.1 Connect/disconnect device</v>
      </c>
      <c r="D25" s="20" t="s">
        <v>110</v>
      </c>
      <c r="E25" s="21" t="s">
        <v>109</v>
      </c>
    </row>
    <row r="26" spans="1:5" ht="43.2" x14ac:dyDescent="0.3">
      <c r="A26" s="20" t="str">
        <f>Tabela2[[#Headers],[7. Use Device]]</f>
        <v>7. Use Device</v>
      </c>
      <c r="B26" s="20" t="s">
        <v>77</v>
      </c>
      <c r="C26" s="20" t="str">
        <f>'Features from steps'!H3</f>
        <v>7.2 Show connection status</v>
      </c>
      <c r="D26" s="20" t="s">
        <v>111</v>
      </c>
      <c r="E26" s="21" t="s">
        <v>112</v>
      </c>
    </row>
    <row r="27" spans="1:5" ht="86.4" x14ac:dyDescent="0.3">
      <c r="A27" s="20" t="str">
        <f>Tabela2[[#Headers],[7. Use Device]]</f>
        <v>7. Use Device</v>
      </c>
      <c r="B27" s="20" t="s">
        <v>78</v>
      </c>
      <c r="C27" s="20" t="str">
        <f>'Features from steps'!H4</f>
        <v>7.3 Basic security settings</v>
      </c>
      <c r="D27" s="20" t="s">
        <v>115</v>
      </c>
      <c r="E27" s="21" t="s">
        <v>116</v>
      </c>
    </row>
    <row r="28" spans="1:5" ht="100.8" x14ac:dyDescent="0.3">
      <c r="A28" s="20" t="str">
        <f>Tabela2[[#Headers],[7. Use Device]]</f>
        <v>7. Use Device</v>
      </c>
      <c r="B28" s="20" t="s">
        <v>79</v>
      </c>
      <c r="C28" s="20" t="str">
        <f>'Features from steps'!H5</f>
        <v>7.4 Advanced security settings</v>
      </c>
      <c r="D28" s="20" t="s">
        <v>114</v>
      </c>
      <c r="E28" s="21" t="s">
        <v>113</v>
      </c>
    </row>
    <row r="29" spans="1:5" ht="57.6" x14ac:dyDescent="0.3">
      <c r="A29" s="34" t="str">
        <f>Tabela3[[#Headers],[10. Set up device bluetooth]]</f>
        <v>10. Set up device bluetooth</v>
      </c>
      <c r="B29" s="22" t="s">
        <v>138</v>
      </c>
      <c r="C29" s="22" t="str">
        <f>'Features from steps'!B16</f>
        <v>10.1 Import device bluetooth settings</v>
      </c>
      <c r="D29" s="22"/>
      <c r="E29" s="23" t="s">
        <v>156</v>
      </c>
    </row>
    <row r="30" spans="1:5" ht="57.6" x14ac:dyDescent="0.3">
      <c r="A30" s="34" t="str">
        <f>Tabela3[[#Headers],[10. Set up device bluetooth]]</f>
        <v>10. Set up device bluetooth</v>
      </c>
      <c r="B30" s="22" t="s">
        <v>139</v>
      </c>
      <c r="C30" s="22" t="str">
        <f>'Features from steps'!B17</f>
        <v>10.2 Set up beacon</v>
      </c>
      <c r="D30" s="35"/>
      <c r="E30" s="36" t="s">
        <v>157</v>
      </c>
    </row>
    <row r="31" spans="1:5" ht="43.2" x14ac:dyDescent="0.3">
      <c r="A31" s="34" t="str">
        <f>Tabela3[[#Headers],[10. Set up device bluetooth]]</f>
        <v>10. Set up device bluetooth</v>
      </c>
      <c r="B31" s="22" t="s">
        <v>140</v>
      </c>
      <c r="C31" s="22" t="str">
        <f>'Features from steps'!B18</f>
        <v>10.3 Connection to mobile phone HomeGuard app</v>
      </c>
      <c r="D31" s="35"/>
      <c r="E31" s="36" t="s">
        <v>158</v>
      </c>
    </row>
    <row r="32" spans="1:5" ht="43.2" x14ac:dyDescent="0.3">
      <c r="A32" s="34" t="str">
        <f>Tabela3[[#Headers],[10. Set up device bluetooth]]</f>
        <v>10. Set up device bluetooth</v>
      </c>
      <c r="B32" s="22" t="s">
        <v>150</v>
      </c>
      <c r="C32" s="22" t="str">
        <f>'Features from steps'!B19</f>
        <v>10.4 Energy management protocol</v>
      </c>
      <c r="D32" s="35"/>
      <c r="E32" s="36" t="s">
        <v>159</v>
      </c>
    </row>
    <row r="33" spans="1:5" ht="43.2" x14ac:dyDescent="0.3">
      <c r="A33" s="35" t="str">
        <f>Tabela3[[#Headers],[11. Exchange protocol keys]]</f>
        <v>11. Exchange protocol keys</v>
      </c>
      <c r="B33" s="35" t="s">
        <v>141</v>
      </c>
      <c r="C33" s="35" t="str">
        <f>'Features from steps'!C16</f>
        <v>11.1 Generate keys based on device ID</v>
      </c>
      <c r="D33" s="35"/>
      <c r="E33" s="36" t="s">
        <v>160</v>
      </c>
    </row>
    <row r="34" spans="1:5" ht="57.6" x14ac:dyDescent="0.3">
      <c r="A34" s="35" t="str">
        <f>Tabela3[[#Headers],[11. Exchange protocol keys]]</f>
        <v>11. Exchange protocol keys</v>
      </c>
      <c r="B34" s="35" t="s">
        <v>143</v>
      </c>
      <c r="C34" s="35" t="str">
        <f>'Features from steps'!C17</f>
        <v>11.2 Send public keys to mobile phone application using bluetooth connection</v>
      </c>
      <c r="D34" s="35"/>
      <c r="E34" s="36" t="s">
        <v>161</v>
      </c>
    </row>
    <row r="35" spans="1:5" ht="57.6" x14ac:dyDescent="0.3">
      <c r="A35" s="35" t="str">
        <f>Tabela3[[#Headers],[11. Exchange protocol keys]]</f>
        <v>11. Exchange protocol keys</v>
      </c>
      <c r="B35" s="35" t="s">
        <v>144</v>
      </c>
      <c r="C35" s="35" t="str">
        <f>'Features from steps'!C18</f>
        <v>11.3 Receive session key</v>
      </c>
      <c r="D35" s="35"/>
      <c r="E35" s="36" t="s">
        <v>162</v>
      </c>
    </row>
    <row r="36" spans="1:5" ht="72" x14ac:dyDescent="0.3">
      <c r="A36" s="35" t="str">
        <f>Tabela3[[#Headers],[11. Exchange protocol keys]]</f>
        <v>11. Exchange protocol keys</v>
      </c>
      <c r="B36" s="35" t="s">
        <v>145</v>
      </c>
      <c r="C36" s="35" t="str">
        <f>'Features from steps'!C19</f>
        <v>11.4 Differentiate keys between different connection types</v>
      </c>
      <c r="D36" s="35"/>
      <c r="E36" s="36" t="s">
        <v>164</v>
      </c>
    </row>
    <row r="37" spans="1:5" ht="72" x14ac:dyDescent="0.3">
      <c r="A37" s="35" t="str">
        <f>Tabela3[[#Headers],[11. Exchange protocol keys]]</f>
        <v>11. Exchange protocol keys</v>
      </c>
      <c r="B37" s="35" t="s">
        <v>146</v>
      </c>
      <c r="C37" s="35" t="str">
        <f>'Features from steps'!C20</f>
        <v>11.5 Send different keys based on connection type</v>
      </c>
      <c r="D37" s="35"/>
      <c r="E37" s="36" t="s">
        <v>163</v>
      </c>
    </row>
    <row r="38" spans="1:5" ht="43.2" x14ac:dyDescent="0.3">
      <c r="A38" s="35" t="str">
        <f>Tabela3[[#Headers],[12. Exchange data and establish secure connection]]</f>
        <v>12. Exchange data and establish secure connection</v>
      </c>
      <c r="B38" s="35" t="s">
        <v>142</v>
      </c>
      <c r="C38" s="35" t="str">
        <f>'Features from steps'!D16</f>
        <v>12.1 Ensure keys exchange</v>
      </c>
      <c r="D38" s="35"/>
      <c r="E38" s="36" t="s">
        <v>165</v>
      </c>
    </row>
    <row r="39" spans="1:5" ht="57.6" x14ac:dyDescent="0.3">
      <c r="A39" s="35" t="str">
        <f>Tabela3[[#Headers],[12. Exchange data and establish secure connection]]</f>
        <v>12. Exchange data and establish secure connection</v>
      </c>
      <c r="B39" s="35" t="s">
        <v>147</v>
      </c>
      <c r="C39" s="35" t="str">
        <f>'Features from steps'!D17</f>
        <v>12.2 Exchange handshake</v>
      </c>
      <c r="D39" s="35"/>
      <c r="E39" s="36" t="s">
        <v>166</v>
      </c>
    </row>
    <row r="40" spans="1:5" ht="57.6" x14ac:dyDescent="0.3">
      <c r="A40" s="35" t="str">
        <f>Tabela3[[#Headers],[12. Exchange data and establish secure connection]]</f>
        <v>12. Exchange data and establish secure connection</v>
      </c>
      <c r="B40" s="35" t="s">
        <v>148</v>
      </c>
      <c r="C40" s="35" t="str">
        <f>'Features from steps'!D18</f>
        <v>12.4 Check for connection stability</v>
      </c>
      <c r="D40" s="35"/>
      <c r="E40" s="36" t="s">
        <v>167</v>
      </c>
    </row>
    <row r="41" spans="1:5" ht="72" x14ac:dyDescent="0.3">
      <c r="A41" s="35" t="str">
        <f>Tabela3[[#Headers],[12. Exchange data and establish secure connection]]</f>
        <v>12. Exchange data and establish secure connection</v>
      </c>
      <c r="B41" s="35" t="s">
        <v>149</v>
      </c>
      <c r="C41" s="35" t="str">
        <f>'Features from steps'!D19</f>
        <v>12.5 Implement connection stability improvement algorithm</v>
      </c>
      <c r="D41" s="35"/>
      <c r="E41" s="36" t="s">
        <v>168</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Features from steps</vt:lpstr>
      <vt:lpstr>Initial US from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Maksym Małek;Oliwer Lisek;Mateusz Bocko;Maciej Rogowicz</dc:creator>
  <cp:lastModifiedBy>Maksym Małek</cp:lastModifiedBy>
  <dcterms:created xsi:type="dcterms:W3CDTF">2025-11-27T14:41:26Z</dcterms:created>
  <dcterms:modified xsi:type="dcterms:W3CDTF">2025-12-04T15:12:36Z</dcterms:modified>
</cp:coreProperties>
</file>